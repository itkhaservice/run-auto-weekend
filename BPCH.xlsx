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lnha\Desktop\project\"/>
    </mc:Choice>
  </mc:AlternateContent>
  <xr:revisionPtr revIDLastSave="0" documentId="13_ncr:1_{14ED0DF2-F454-4976-BFA5-313824C7701D}" xr6:coauthVersionLast="47" xr6:coauthVersionMax="47" xr10:uidLastSave="{00000000-0000-0000-0000-000000000000}"/>
  <bookViews>
    <workbookView xWindow="-108" yWindow="-108" windowWidth="23256" windowHeight="12456" xr2:uid="{F1CCECD3-6BC1-4383-A77F-6A2605F005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2" i="1"/>
  <c r="J11" i="1"/>
  <c r="D11" i="1"/>
  <c r="J10" i="1"/>
  <c r="D10" i="1"/>
  <c r="J9" i="1"/>
  <c r="S9" i="1" s="1"/>
  <c r="D9" i="1"/>
  <c r="J8" i="1"/>
  <c r="S8" i="1" s="1"/>
  <c r="D8" i="1"/>
  <c r="J6" i="1"/>
  <c r="J7" i="1"/>
  <c r="J2" i="1"/>
  <c r="J3" i="1"/>
  <c r="J4" i="1"/>
  <c r="J5" i="1"/>
  <c r="S5" i="1" s="1"/>
  <c r="S4" i="1"/>
  <c r="S2" i="1"/>
  <c r="D5" i="1"/>
  <c r="D7" i="1"/>
  <c r="D6" i="1"/>
  <c r="D4" i="1"/>
  <c r="D3" i="1"/>
  <c r="D2" i="1"/>
  <c r="S10" i="1" l="1"/>
  <c r="S11" i="1"/>
  <c r="S3" i="1"/>
  <c r="S7" i="1"/>
  <c r="S6" i="1"/>
</calcChain>
</file>

<file path=xl/sharedStrings.xml><?xml version="1.0" encoding="utf-8"?>
<sst xmlns="http://schemas.openxmlformats.org/spreadsheetml/2006/main" count="39" uniqueCount="28">
  <si>
    <t>B04-F13</t>
  </si>
  <si>
    <t>Căn hộ</t>
  </si>
  <si>
    <t>Diện tích</t>
  </si>
  <si>
    <t>Phí</t>
  </si>
  <si>
    <t>Tổng</t>
  </si>
  <si>
    <t>Cũ</t>
  </si>
  <si>
    <t>Mới</t>
  </si>
  <si>
    <t>Tiêu thụ</t>
  </si>
  <si>
    <t>Giá</t>
  </si>
  <si>
    <t>Nước</t>
  </si>
  <si>
    <t>Quản lý</t>
  </si>
  <si>
    <t>Tháng</t>
  </si>
  <si>
    <t>01/10/2025</t>
  </si>
  <si>
    <t>Xe đạp</t>
  </si>
  <si>
    <t>Đơn giá</t>
  </si>
  <si>
    <t xml:space="preserve">Xe máy </t>
  </si>
  <si>
    <t>Ô tô</t>
  </si>
  <si>
    <t>Xe</t>
  </si>
  <si>
    <t>Rác</t>
  </si>
  <si>
    <t>01/09/2025</t>
  </si>
  <si>
    <t>01/08/2025</t>
  </si>
  <si>
    <t>01/06/2025</t>
  </si>
  <si>
    <t>01/07/2025</t>
  </si>
  <si>
    <t>01/05/2025</t>
  </si>
  <si>
    <t>01/04/2025</t>
  </si>
  <si>
    <t>01/03/2025</t>
  </si>
  <si>
    <t>01/02/2025</t>
  </si>
  <si>
    <t>01/01/2025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</si>
</sst>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" fontId="0" fillId="0" borderId="0" xfId="0" quotePrefix="1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2AB1F-C6BF-4803-BDD6-EB2D6BA48EF6}">
  <dimension ref="A1:S11"/>
  <sheetViews>
    <sheetView tabSelected="1" workbookViewId="0">
      <selection activeCell="M16" sqref="M16"/>
    </sheetView>
  </sheetViews>
  <sheetFormatPr defaultRowHeight="14.4" x14ac:dyDescent="0.3"/>
  <cols>
    <col min="1" max="1" width="8.88671875" style="2"/>
    <col min="2" max="2" width="11.109375" style="2" customWidth="1"/>
    <col min="3" max="10" width="8.88671875" style="2"/>
  </cols>
  <sheetData>
    <row r="1" spans="1:19" x14ac:dyDescent="0.3">
      <c r="A1" s="2" t="s">
        <v>1</v>
      </c>
      <c r="B1" s="2" t="s">
        <v>11</v>
      </c>
      <c r="C1" s="2" t="s">
        <v>2</v>
      </c>
      <c r="D1" s="2" t="s">
        <v>3</v>
      </c>
      <c r="E1" s="2" t="s">
        <v>10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13</v>
      </c>
      <c r="L1" s="2" t="s">
        <v>14</v>
      </c>
      <c r="M1" s="2" t="s">
        <v>15</v>
      </c>
      <c r="N1" s="2" t="s">
        <v>14</v>
      </c>
      <c r="O1" s="2" t="s">
        <v>16</v>
      </c>
      <c r="P1" s="2" t="s">
        <v>14</v>
      </c>
      <c r="Q1" s="2" t="s">
        <v>17</v>
      </c>
      <c r="R1" s="2" t="s">
        <v>18</v>
      </c>
      <c r="S1" s="2" t="s">
        <v>4</v>
      </c>
    </row>
    <row r="2" spans="1:19" x14ac:dyDescent="0.3">
      <c r="A2" s="2" t="s">
        <v>0</v>
      </c>
      <c r="B2" s="3" t="s">
        <v>12</v>
      </c>
      <c r="C2" s="2">
        <v>33.5</v>
      </c>
      <c r="D2" s="2">
        <f>E2/C2</f>
        <v>6460</v>
      </c>
      <c r="E2" s="2">
        <v>216410</v>
      </c>
      <c r="F2" s="2">
        <v>703</v>
      </c>
      <c r="G2" s="2">
        <v>717</v>
      </c>
      <c r="H2" s="2">
        <v>14</v>
      </c>
      <c r="I2" s="2">
        <v>12075</v>
      </c>
      <c r="J2" s="2">
        <f t="shared" ref="J2:J7" si="0">I2*H2</f>
        <v>169050</v>
      </c>
      <c r="K2" s="2">
        <v>0</v>
      </c>
      <c r="L2" s="2">
        <v>60000</v>
      </c>
      <c r="M2" s="2">
        <v>2</v>
      </c>
      <c r="N2" s="1">
        <v>80000</v>
      </c>
      <c r="O2" s="1">
        <v>0</v>
      </c>
      <c r="P2" s="2">
        <v>800000</v>
      </c>
      <c r="Q2" s="2">
        <f>K2*L2+M2*N2+O2*P2</f>
        <v>160000</v>
      </c>
      <c r="R2" s="2">
        <v>24000</v>
      </c>
      <c r="S2">
        <f>R2+Q2+J2+E2</f>
        <v>569460</v>
      </c>
    </row>
    <row r="3" spans="1:19" x14ac:dyDescent="0.3">
      <c r="A3" s="2" t="s">
        <v>0</v>
      </c>
      <c r="B3" s="3" t="s">
        <v>19</v>
      </c>
      <c r="C3" s="2">
        <v>33.5</v>
      </c>
      <c r="D3" s="2">
        <f>E3/C3</f>
        <v>6460</v>
      </c>
      <c r="E3" s="2">
        <v>216410</v>
      </c>
      <c r="F3" s="2">
        <v>687</v>
      </c>
      <c r="G3" s="2">
        <v>703</v>
      </c>
      <c r="H3" s="2">
        <v>16</v>
      </c>
      <c r="I3" s="2">
        <v>12075</v>
      </c>
      <c r="J3" s="2">
        <f t="shared" si="0"/>
        <v>193200</v>
      </c>
      <c r="K3" s="2">
        <v>0</v>
      </c>
      <c r="L3" s="2">
        <v>60000</v>
      </c>
      <c r="M3" s="2">
        <v>2</v>
      </c>
      <c r="N3" s="1">
        <v>80000</v>
      </c>
      <c r="O3" s="1">
        <v>0</v>
      </c>
      <c r="P3" s="2">
        <v>800000</v>
      </c>
      <c r="Q3" s="2">
        <f t="shared" ref="Q3:Q11" si="1">K3*L3+M3*N3+O3*P3</f>
        <v>160000</v>
      </c>
      <c r="R3" s="2">
        <v>24000</v>
      </c>
      <c r="S3">
        <f t="shared" ref="S3:S7" si="2">R3+Q3+J3+E3</f>
        <v>593610</v>
      </c>
    </row>
    <row r="4" spans="1:19" x14ac:dyDescent="0.3">
      <c r="A4" s="2" t="s">
        <v>0</v>
      </c>
      <c r="B4" s="3" t="s">
        <v>20</v>
      </c>
      <c r="C4" s="2">
        <v>33.5</v>
      </c>
      <c r="D4" s="2">
        <f t="shared" ref="D4:D11" si="3">E4/C4</f>
        <v>6460</v>
      </c>
      <c r="E4" s="2">
        <v>216410</v>
      </c>
      <c r="F4" s="2">
        <v>671</v>
      </c>
      <c r="G4" s="2">
        <v>687</v>
      </c>
      <c r="H4" s="2">
        <v>16</v>
      </c>
      <c r="I4" s="2">
        <v>12075</v>
      </c>
      <c r="J4" s="2">
        <f t="shared" si="0"/>
        <v>193200</v>
      </c>
      <c r="K4" s="2">
        <v>0</v>
      </c>
      <c r="L4" s="2">
        <v>60000</v>
      </c>
      <c r="M4" s="2">
        <v>2</v>
      </c>
      <c r="N4" s="1">
        <v>80000</v>
      </c>
      <c r="O4" s="1">
        <v>0</v>
      </c>
      <c r="P4" s="2">
        <v>800000</v>
      </c>
      <c r="Q4" s="2">
        <f t="shared" si="1"/>
        <v>160000</v>
      </c>
      <c r="R4" s="2">
        <v>24000</v>
      </c>
      <c r="S4">
        <f t="shared" si="2"/>
        <v>593610</v>
      </c>
    </row>
    <row r="5" spans="1:19" x14ac:dyDescent="0.3">
      <c r="A5" s="2" t="s">
        <v>0</v>
      </c>
      <c r="B5" s="3" t="s">
        <v>22</v>
      </c>
      <c r="C5" s="2">
        <v>33.5</v>
      </c>
      <c r="D5" s="2">
        <f t="shared" si="3"/>
        <v>6460</v>
      </c>
      <c r="E5" s="2">
        <v>216410</v>
      </c>
      <c r="F5" s="2">
        <v>658</v>
      </c>
      <c r="G5" s="2">
        <v>671</v>
      </c>
      <c r="H5" s="2">
        <v>13</v>
      </c>
      <c r="I5" s="2">
        <v>12075</v>
      </c>
      <c r="J5" s="2">
        <f>I5*H5</f>
        <v>156975</v>
      </c>
      <c r="K5" s="2">
        <v>0</v>
      </c>
      <c r="L5" s="2">
        <v>60000</v>
      </c>
      <c r="M5" s="2">
        <v>2</v>
      </c>
      <c r="N5" s="1">
        <v>80000</v>
      </c>
      <c r="O5" s="1">
        <v>0</v>
      </c>
      <c r="P5" s="2">
        <v>800000</v>
      </c>
      <c r="Q5" s="2">
        <f t="shared" si="1"/>
        <v>160000</v>
      </c>
      <c r="R5" s="2">
        <v>24000</v>
      </c>
      <c r="S5">
        <f t="shared" si="2"/>
        <v>557385</v>
      </c>
    </row>
    <row r="6" spans="1:19" x14ac:dyDescent="0.3">
      <c r="A6" s="2" t="s">
        <v>0</v>
      </c>
      <c r="B6" s="3" t="s">
        <v>21</v>
      </c>
      <c r="C6" s="2">
        <v>33.5</v>
      </c>
      <c r="D6" s="2">
        <f t="shared" si="3"/>
        <v>6460</v>
      </c>
      <c r="E6" s="2">
        <v>216410</v>
      </c>
      <c r="F6" s="2">
        <v>643</v>
      </c>
      <c r="G6" s="2">
        <v>658</v>
      </c>
      <c r="H6" s="2">
        <v>15</v>
      </c>
      <c r="I6" s="2">
        <v>12075</v>
      </c>
      <c r="J6" s="2">
        <f t="shared" si="0"/>
        <v>181125</v>
      </c>
      <c r="K6" s="2">
        <v>0</v>
      </c>
      <c r="L6" s="2">
        <v>60000</v>
      </c>
      <c r="M6" s="2">
        <v>2</v>
      </c>
      <c r="N6" s="1">
        <v>80000</v>
      </c>
      <c r="O6" s="1">
        <v>0</v>
      </c>
      <c r="P6" s="2">
        <v>800000</v>
      </c>
      <c r="Q6" s="2">
        <f t="shared" si="1"/>
        <v>160000</v>
      </c>
      <c r="R6" s="2">
        <v>24000</v>
      </c>
      <c r="S6">
        <f t="shared" si="2"/>
        <v>581535</v>
      </c>
    </row>
    <row r="7" spans="1:19" x14ac:dyDescent="0.3">
      <c r="A7" s="2" t="s">
        <v>0</v>
      </c>
      <c r="B7" s="3" t="s">
        <v>23</v>
      </c>
      <c r="C7" s="2">
        <v>33.5</v>
      </c>
      <c r="D7" s="2">
        <f t="shared" si="3"/>
        <v>6460</v>
      </c>
      <c r="E7" s="2">
        <v>216410</v>
      </c>
      <c r="F7" s="2">
        <v>628</v>
      </c>
      <c r="G7" s="2">
        <v>623</v>
      </c>
      <c r="H7" s="2">
        <v>15</v>
      </c>
      <c r="I7" s="2">
        <v>12075</v>
      </c>
      <c r="J7" s="2">
        <f t="shared" si="0"/>
        <v>181125</v>
      </c>
      <c r="K7" s="2">
        <v>0</v>
      </c>
      <c r="L7" s="2">
        <v>60000</v>
      </c>
      <c r="M7" s="2">
        <v>2</v>
      </c>
      <c r="N7" s="1">
        <v>80000</v>
      </c>
      <c r="O7" s="1">
        <v>0</v>
      </c>
      <c r="P7" s="2">
        <v>800000</v>
      </c>
      <c r="Q7" s="2">
        <f t="shared" si="1"/>
        <v>160000</v>
      </c>
      <c r="R7" s="2">
        <v>24000</v>
      </c>
      <c r="S7">
        <f t="shared" si="2"/>
        <v>581535</v>
      </c>
    </row>
    <row r="8" spans="1:19" x14ac:dyDescent="0.3">
      <c r="A8" s="2" t="s">
        <v>0</v>
      </c>
      <c r="B8" s="3" t="s">
        <v>24</v>
      </c>
      <c r="C8" s="2">
        <v>33.5</v>
      </c>
      <c r="D8" s="2">
        <f t="shared" si="3"/>
        <v>6460</v>
      </c>
      <c r="E8" s="2">
        <v>216410</v>
      </c>
      <c r="F8" s="2">
        <v>615</v>
      </c>
      <c r="G8" s="2">
        <v>628</v>
      </c>
      <c r="H8" s="2">
        <v>13</v>
      </c>
      <c r="I8" s="2">
        <v>12075</v>
      </c>
      <c r="J8" s="2">
        <f t="shared" ref="J8" si="4">I8*H8</f>
        <v>156975</v>
      </c>
      <c r="K8" s="2">
        <v>0</v>
      </c>
      <c r="L8" s="2">
        <v>60000</v>
      </c>
      <c r="M8" s="2">
        <v>2</v>
      </c>
      <c r="N8" s="1">
        <v>80000</v>
      </c>
      <c r="O8" s="1">
        <v>0</v>
      </c>
      <c r="P8" s="2">
        <v>800000</v>
      </c>
      <c r="Q8" s="2">
        <f t="shared" si="1"/>
        <v>160000</v>
      </c>
      <c r="R8" s="2">
        <v>24000</v>
      </c>
      <c r="S8">
        <f t="shared" ref="S8" si="5">R8+Q8+J8+E8</f>
        <v>557385</v>
      </c>
    </row>
    <row r="9" spans="1:19" x14ac:dyDescent="0.3">
      <c r="A9" s="2" t="s">
        <v>0</v>
      </c>
      <c r="B9" s="3" t="s">
        <v>25</v>
      </c>
      <c r="C9" s="2">
        <v>33.5</v>
      </c>
      <c r="D9" s="2">
        <f t="shared" si="3"/>
        <v>6460</v>
      </c>
      <c r="E9" s="2">
        <v>216410</v>
      </c>
      <c r="F9" s="2">
        <v>605</v>
      </c>
      <c r="G9" s="2">
        <v>615</v>
      </c>
      <c r="H9" s="2">
        <v>10</v>
      </c>
      <c r="I9" s="2">
        <v>12075</v>
      </c>
      <c r="J9" s="2">
        <f t="shared" ref="J9:J11" si="6">I9*H9</f>
        <v>120750</v>
      </c>
      <c r="K9" s="2">
        <v>0</v>
      </c>
      <c r="L9" s="2">
        <v>60000</v>
      </c>
      <c r="M9" s="2">
        <v>2</v>
      </c>
      <c r="N9" s="1">
        <v>80000</v>
      </c>
      <c r="O9" s="1">
        <v>0</v>
      </c>
      <c r="P9" s="2">
        <v>800000</v>
      </c>
      <c r="Q9" s="2">
        <f t="shared" si="1"/>
        <v>160000</v>
      </c>
      <c r="R9" s="2">
        <v>24000</v>
      </c>
      <c r="S9">
        <f t="shared" ref="S9:S11" si="7">R9+Q9+J9+E9</f>
        <v>521160</v>
      </c>
    </row>
    <row r="10" spans="1:19" x14ac:dyDescent="0.3">
      <c r="A10" s="2" t="s">
        <v>0</v>
      </c>
      <c r="B10" s="3" t="s">
        <v>26</v>
      </c>
      <c r="C10" s="2">
        <v>33.5</v>
      </c>
      <c r="D10" s="2">
        <f t="shared" si="3"/>
        <v>6460</v>
      </c>
      <c r="E10" s="2">
        <v>216410</v>
      </c>
      <c r="F10" s="2">
        <v>600</v>
      </c>
      <c r="G10" s="2">
        <v>605</v>
      </c>
      <c r="H10" s="2">
        <v>5</v>
      </c>
      <c r="I10" s="2">
        <v>12075</v>
      </c>
      <c r="J10" s="2">
        <f t="shared" si="6"/>
        <v>60375</v>
      </c>
      <c r="K10" s="2">
        <v>0</v>
      </c>
      <c r="L10" s="2">
        <v>60000</v>
      </c>
      <c r="M10" s="2">
        <v>1</v>
      </c>
      <c r="N10" s="1">
        <v>80000</v>
      </c>
      <c r="O10" s="1">
        <v>0</v>
      </c>
      <c r="P10" s="2">
        <v>800000</v>
      </c>
      <c r="Q10" s="2">
        <f t="shared" si="1"/>
        <v>80000</v>
      </c>
      <c r="R10" s="2">
        <v>24000</v>
      </c>
      <c r="S10">
        <f t="shared" si="7"/>
        <v>380785</v>
      </c>
    </row>
    <row r="11" spans="1:19" x14ac:dyDescent="0.3">
      <c r="A11" s="2" t="s">
        <v>0</v>
      </c>
      <c r="B11" s="3" t="s">
        <v>27</v>
      </c>
      <c r="C11" s="2">
        <v>33.5</v>
      </c>
      <c r="D11" s="2">
        <f t="shared" si="3"/>
        <v>6460</v>
      </c>
      <c r="E11" s="2">
        <v>216410</v>
      </c>
      <c r="F11" s="2">
        <v>595</v>
      </c>
      <c r="G11" s="2">
        <v>600</v>
      </c>
      <c r="H11" s="2">
        <v>5</v>
      </c>
      <c r="I11" s="2">
        <v>12075</v>
      </c>
      <c r="J11" s="2">
        <f t="shared" si="6"/>
        <v>60375</v>
      </c>
      <c r="K11" s="2">
        <v>0</v>
      </c>
      <c r="L11" s="2">
        <v>60000</v>
      </c>
      <c r="M11" s="2">
        <v>1</v>
      </c>
      <c r="N11" s="1">
        <v>80000</v>
      </c>
      <c r="O11" s="1">
        <v>0</v>
      </c>
      <c r="P11" s="2">
        <v>800000</v>
      </c>
      <c r="Q11" s="2">
        <f t="shared" si="1"/>
        <v>80000</v>
      </c>
      <c r="R11" s="2">
        <v>24000</v>
      </c>
      <c r="S11">
        <f t="shared" si="7"/>
        <v>380785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Hội Khánh</dc:creator>
  <cp:lastModifiedBy>Hội Khánh</cp:lastModifiedBy>
  <dcterms:created xsi:type="dcterms:W3CDTF">2026-01-21T08:27:35Z</dcterms:created>
  <dcterms:modified xsi:type="dcterms:W3CDTF">2026-01-21T09:21:18Z</dcterms:modified>
</cp:coreProperties>
</file>